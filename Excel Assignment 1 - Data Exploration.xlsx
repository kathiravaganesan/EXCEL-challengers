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athi\Downloads\"/>
    </mc:Choice>
  </mc:AlternateContent>
  <xr:revisionPtr revIDLastSave="0" documentId="13_ncr:1_{7D22F1ED-FDD0-4EB6-9F9C-FD8B6A36F32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I46" i="2" l="1"/>
  <c r="I45" i="2"/>
  <c r="I44" i="2"/>
  <c r="I43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" i="2"/>
  <c r="H2" i="2"/>
</calcChain>
</file>

<file path=xl/sharedStrings.xml><?xml version="1.0" encoding="utf-8"?>
<sst xmlns="http://schemas.openxmlformats.org/spreadsheetml/2006/main" count="172" uniqueCount="123">
  <si>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</si>
  <si>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</si>
  <si>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</si>
  <si>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</si>
  <si>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</si>
  <si>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</si>
  <si>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</si>
  <si>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</si>
  <si>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</si>
  <si>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</si>
  <si>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</si>
  <si>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</si>
  <si>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</si>
  <si>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</si>
  <si>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</si>
  <si>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</si>
  <si>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</si>
  <si>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</si>
  <si>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</si>
  <si>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</si>
  <si>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</si>
  <si>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</si>
  <si>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</si>
  <si>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</si>
  <si>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</si>
  <si>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</si>
  <si>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</si>
  <si>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</si>
  <si>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</si>
  <si>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</si>
  <si>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</si>
  <si>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</si>
  <si>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</si>
  <si>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</si>
  <si>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</si>
  <si>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</si>
  <si>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</si>
  <si>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</si>
  <si>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</si>
  <si>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</si>
  <si>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</si>
  <si>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</si>
  <si>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</si>
  <si>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</si>
  <si>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</si>
  <si>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</si>
  <si>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</si>
  <si>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</si>
  <si>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</si>
  <si>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</si>
  <si>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</si>
  <si>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</si>
  <si>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</si>
  <si>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</si>
  <si>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</si>
  <si>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</si>
  <si>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</si>
  <si>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</si>
  <si>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</si>
  <si>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</si>
  <si>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</si>
  <si>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</si>
  <si>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</si>
  <si>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</si>
  <si>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</si>
  <si>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</si>
  <si>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</si>
  <si>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</si>
  <si>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</si>
  <si>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</si>
  <si>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</si>
  <si>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</si>
  <si>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</si>
  <si>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</si>
  <si>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</si>
  <si>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</si>
  <si>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</si>
  <si>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</si>
  <si>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</si>
  <si>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</si>
  <si>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</si>
  <si>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</si>
  <si>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</si>
  <si>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</si>
  <si>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</si>
  <si>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</si>
  <si>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</si>
  <si>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</si>
  <si>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</si>
  <si>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</si>
  <si>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</si>
  <si>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</si>
  <si>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</si>
  <si>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</si>
  <si>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</si>
  <si>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</si>
  <si>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</si>
  <si>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</si>
  <si>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</si>
  <si>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</si>
  <si>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</si>
  <si>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</si>
  <si>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</si>
  <si>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</si>
  <si>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</si>
  <si>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</si>
  <si>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</si>
  <si>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</si>
  <si>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</si>
  <si>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QUESTIONS</t>
  </si>
  <si>
    <t>ANSWER</t>
  </si>
  <si>
    <t>PRICE ($)</t>
  </si>
  <si>
    <t>What is total price of all products in the Dataset?</t>
  </si>
  <si>
    <t>How many products are there in the Dataset?</t>
  </si>
  <si>
    <t>Calculate the average price of all products?</t>
  </si>
  <si>
    <t>Determine the Minimum price among all products?</t>
  </si>
  <si>
    <t>Find the Maximum price among all products?</t>
  </si>
  <si>
    <t>Determine the count of all products with a price less than $100 using COUNTIF function?</t>
  </si>
  <si>
    <t>Calculate the total price for products in the "Electronics" category using the SUMIF function?</t>
  </si>
  <si>
    <t>DAY</t>
  </si>
  <si>
    <t>COUNTRY</t>
  </si>
  <si>
    <t>MONTH</t>
  </si>
  <si>
    <t>PRICE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</si>
</sst>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  <family val="1"/>
    </font>
    <font>
      <b/>
      <sz val="12"/>
      <color theme="1"/>
      <name val="Arial"/>
      <family val="2"/>
    </font>
    <font>
      <b/>
      <sz val="12"/>
      <color theme="1"/>
      <name val="Times New Roman"/>
      <family val="1"/>
    </font>
    <font>
      <sz val="12"/>
      <color rgb="FF000000"/>
      <name val="Arial"/>
      <family val="2"/>
      <scheme val="minor"/>
    </font>
    <font>
      <sz val="12"/>
      <color rgb="FF000000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b/>
      <sz val="14"/>
      <color theme="1" tint="4.9989318521683403E-2"/>
      <name val="Times New Roman"/>
      <family val="1"/>
    </font>
    <font>
      <sz val="14"/>
      <color theme="1" tint="4.9989318521683403E-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7FD1D7"/>
        <bgColor indexed="64"/>
      </patternFill>
    </fill>
    <fill>
      <patternFill patternType="solid">
        <fgColor rgb="FF4BCFE1"/>
        <bgColor rgb="FF4DD0E1"/>
      </patternFill>
    </fill>
    <fill>
      <patternFill patternType="solid">
        <fgColor rgb="FF4BCFE1"/>
        <bgColor indexed="64"/>
      </patternFill>
    </fill>
    <fill>
      <patternFill patternType="solid">
        <fgColor rgb="FFE0F7F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9" fillId="0" borderId="0" xfId="0" applyFont="1"/>
    <xf numFmtId="0" fontId="10" fillId="6" borderId="1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3" fillId="7" borderId="1" xfId="0" applyFont="1" applyFill="1" applyBorder="1" applyAlignment="1">
      <alignment horizontal="center"/>
    </xf>
    <xf numFmtId="0" fontId="14" fillId="7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9C3CB"/>
      <color rgb="FF7FD1D7"/>
      <color rgb="FFFF2121"/>
      <color rgb="FFFEC2F7"/>
      <color rgb="FFE0F7FA"/>
      <color rgb="FF4BCFE1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F4" sqref="C4:F4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0"/>
  <sheetViews>
    <sheetView tabSelected="1" topLeftCell="A27" zoomScaleNormal="100" workbookViewId="0">
      <selection activeCell="C40" sqref="C40:H40"/>
    </sheetView>
  </sheetViews>
  <sheetFormatPr defaultColWidth="12.6640625" defaultRowHeight="15" customHeight="1" x14ac:dyDescent="0.25"/>
  <cols>
    <col min="1" max="1" width="19.6640625" style="7" customWidth="1"/>
    <col min="2" max="2" width="19.109375" style="7" customWidth="1"/>
    <col min="3" max="3" width="23.44140625" style="7" customWidth="1"/>
    <col min="4" max="4" width="16.21875" style="7" customWidth="1"/>
    <col min="5" max="5" width="15.6640625" style="7" customWidth="1"/>
    <col min="6" max="6" width="18.77734375" style="7" customWidth="1"/>
    <col min="7" max="7" width="21.6640625" customWidth="1"/>
    <col min="8" max="8" width="18.6640625" customWidth="1"/>
    <col min="9" max="9" width="16.88671875" customWidth="1"/>
    <col min="10" max="10" width="16.5546875" customWidth="1"/>
  </cols>
  <sheetData>
    <row r="1" spans="1:10" s="15" customFormat="1" ht="15.75" customHeight="1" x14ac:dyDescent="0.3">
      <c r="A1" s="11" t="s">
        <v>17</v>
      </c>
      <c r="B1" s="11" t="s">
        <v>18</v>
      </c>
      <c r="C1" s="12" t="s">
        <v>19</v>
      </c>
      <c r="D1" s="12" t="s">
        <v>111</v>
      </c>
      <c r="E1" s="12" t="s">
        <v>20</v>
      </c>
      <c r="F1" s="13" t="s">
        <v>21</v>
      </c>
      <c r="G1" s="14" t="s">
        <v>122</v>
      </c>
      <c r="H1" s="14" t="s">
        <v>119</v>
      </c>
      <c r="I1" s="14" t="s">
        <v>120</v>
      </c>
      <c r="J1" s="14" t="s">
        <v>121</v>
      </c>
    </row>
    <row r="2" spans="1:10" ht="15.75" customHeight="1" x14ac:dyDescent="0.25">
      <c r="A2" s="5" t="s">
        <v>22</v>
      </c>
      <c r="B2" s="5" t="s">
        <v>23</v>
      </c>
      <c r="C2" s="8" t="s">
        <v>24</v>
      </c>
      <c r="D2" s="8">
        <v>1000</v>
      </c>
      <c r="E2" s="8">
        <v>30</v>
      </c>
      <c r="F2" s="8" t="s">
        <v>25</v>
      </c>
      <c r="G2" s="8" t="str">
        <f t="shared" ref="G2:G35" si="0">IF(D2&gt;=500,"HIGH PRICE","STANDARD PRICE")</f>
        <v>HIGH PRICE</v>
      </c>
      <c r="H2" s="8" t="str">
        <f>LEFT(A2,2)</f>
        <v>28</v>
      </c>
      <c r="I2" s="8" t="str">
        <f>RIGHT(A2,2)</f>
        <v>US</v>
      </c>
      <c r="J2" s="8" t="str">
        <f>MID(A2,4,3)</f>
        <v>JAN</v>
      </c>
    </row>
    <row r="3" spans="1:10" ht="15.75" customHeight="1" x14ac:dyDescent="0.25">
      <c r="A3" s="6" t="s">
        <v>26</v>
      </c>
      <c r="B3" s="6" t="s">
        <v>27</v>
      </c>
      <c r="C3" s="9" t="s">
        <v>28</v>
      </c>
      <c r="D3" s="9">
        <v>80</v>
      </c>
      <c r="E3" s="9">
        <v>15</v>
      </c>
      <c r="F3" s="9" t="s">
        <v>29</v>
      </c>
      <c r="G3" s="10" t="str">
        <f t="shared" si="0"/>
        <v>STANDARD PRICE</v>
      </c>
      <c r="H3" s="10" t="str">
        <f>LEFT(A3,2)</f>
        <v>15</v>
      </c>
      <c r="I3" s="10" t="str">
        <f t="shared" ref="I3:I35" si="1">RIGHT(A3,2)</f>
        <v>US</v>
      </c>
      <c r="J3" s="10" t="str">
        <f t="shared" ref="J3:J35" si="2">MID(A3,4,3)</f>
        <v>FEB</v>
      </c>
    </row>
    <row r="4" spans="1:10" ht="15.75" customHeight="1" x14ac:dyDescent="0.25">
      <c r="A4" s="5" t="s">
        <v>30</v>
      </c>
      <c r="B4" s="5" t="s">
        <v>31</v>
      </c>
      <c r="C4" s="8" t="s">
        <v>32</v>
      </c>
      <c r="D4" s="8">
        <v>130</v>
      </c>
      <c r="E4" s="8">
        <v>40</v>
      </c>
      <c r="F4" s="8" t="s">
        <v>33</v>
      </c>
      <c r="G4" s="8" t="str">
        <f t="shared" si="0"/>
        <v>STANDARD PRICE</v>
      </c>
      <c r="H4" s="8" t="str">
        <f t="shared" ref="H4:H35" si="3">LEFT(A4,2)</f>
        <v>03</v>
      </c>
      <c r="I4" s="8" t="str">
        <f t="shared" si="1"/>
        <v>US</v>
      </c>
      <c r="J4" s="8" t="str">
        <f t="shared" si="2"/>
        <v>MAR</v>
      </c>
    </row>
    <row r="5" spans="1:10" ht="15.75" customHeight="1" x14ac:dyDescent="0.25">
      <c r="A5" s="6" t="s">
        <v>34</v>
      </c>
      <c r="B5" s="6" t="s">
        <v>35</v>
      </c>
      <c r="C5" s="9" t="s">
        <v>36</v>
      </c>
      <c r="D5" s="9">
        <v>900</v>
      </c>
      <c r="E5" s="9">
        <v>25</v>
      </c>
      <c r="F5" s="9" t="s">
        <v>25</v>
      </c>
      <c r="G5" s="10" t="str">
        <f t="shared" si="0"/>
        <v>HIGH PRICE</v>
      </c>
      <c r="H5" s="10" t="str">
        <f t="shared" si="3"/>
        <v>11</v>
      </c>
      <c r="I5" s="10" t="str">
        <f t="shared" si="1"/>
        <v>US</v>
      </c>
      <c r="J5" s="10" t="str">
        <f t="shared" si="2"/>
        <v>APR</v>
      </c>
    </row>
    <row r="6" spans="1:10" ht="15.75" customHeight="1" x14ac:dyDescent="0.25">
      <c r="A6" s="5" t="s">
        <v>37</v>
      </c>
      <c r="B6" s="5" t="s">
        <v>38</v>
      </c>
      <c r="C6" s="8" t="s">
        <v>39</v>
      </c>
      <c r="D6" s="8">
        <v>70</v>
      </c>
      <c r="E6" s="8">
        <v>20</v>
      </c>
      <c r="F6" s="8" t="s">
        <v>40</v>
      </c>
      <c r="G6" s="8" t="str">
        <f t="shared" si="0"/>
        <v>STANDARD PRICE</v>
      </c>
      <c r="H6" s="8" t="str">
        <f t="shared" si="3"/>
        <v>22</v>
      </c>
      <c r="I6" s="8" t="str">
        <f t="shared" si="1"/>
        <v>US</v>
      </c>
      <c r="J6" s="8" t="str">
        <f t="shared" si="2"/>
        <v>MAY</v>
      </c>
    </row>
    <row r="7" spans="1:10" ht="15.75" customHeight="1" x14ac:dyDescent="0.25">
      <c r="A7" s="6" t="s">
        <v>41</v>
      </c>
      <c r="B7" s="6" t="s">
        <v>42</v>
      </c>
      <c r="C7" s="9" t="s">
        <v>43</v>
      </c>
      <c r="D7" s="9">
        <v>200</v>
      </c>
      <c r="E7" s="9">
        <v>45</v>
      </c>
      <c r="F7" s="9" t="s">
        <v>25</v>
      </c>
      <c r="G7" s="10" t="str">
        <f t="shared" si="0"/>
        <v>STANDARD PRICE</v>
      </c>
      <c r="H7" s="10" t="str">
        <f t="shared" si="3"/>
        <v>07</v>
      </c>
      <c r="I7" s="10" t="str">
        <f t="shared" si="1"/>
        <v>UK</v>
      </c>
      <c r="J7" s="10" t="str">
        <f t="shared" si="2"/>
        <v>JUN</v>
      </c>
    </row>
    <row r="8" spans="1:10" ht="15.75" customHeight="1" x14ac:dyDescent="0.25">
      <c r="A8" s="5" t="s">
        <v>44</v>
      </c>
      <c r="B8" s="5" t="s">
        <v>45</v>
      </c>
      <c r="C8" s="8" t="s">
        <v>46</v>
      </c>
      <c r="D8" s="8">
        <v>30</v>
      </c>
      <c r="E8" s="8">
        <v>5</v>
      </c>
      <c r="F8" s="8" t="s">
        <v>29</v>
      </c>
      <c r="G8" s="8" t="str">
        <f t="shared" si="0"/>
        <v>STANDARD PRICE</v>
      </c>
      <c r="H8" s="8" t="str">
        <f t="shared" si="3"/>
        <v>19</v>
      </c>
      <c r="I8" s="8" t="str">
        <f t="shared" si="1"/>
        <v>UK</v>
      </c>
      <c r="J8" s="8" t="str">
        <f t="shared" si="2"/>
        <v>JUL</v>
      </c>
    </row>
    <row r="9" spans="1:10" ht="15.75" customHeight="1" x14ac:dyDescent="0.25">
      <c r="A9" s="6" t="s">
        <v>47</v>
      </c>
      <c r="B9" s="6" t="s">
        <v>48</v>
      </c>
      <c r="C9" s="9" t="s">
        <v>49</v>
      </c>
      <c r="D9" s="9">
        <v>90</v>
      </c>
      <c r="E9" s="9">
        <v>35</v>
      </c>
      <c r="F9" s="9" t="s">
        <v>33</v>
      </c>
      <c r="G9" s="10" t="str">
        <f t="shared" si="0"/>
        <v>STANDARD PRICE</v>
      </c>
      <c r="H9" s="10" t="str">
        <f t="shared" si="3"/>
        <v>23</v>
      </c>
      <c r="I9" s="10" t="str">
        <f t="shared" si="1"/>
        <v>UK</v>
      </c>
      <c r="J9" s="10" t="str">
        <f t="shared" si="2"/>
        <v>AUG</v>
      </c>
    </row>
    <row r="10" spans="1:10" ht="15.75" customHeight="1" x14ac:dyDescent="0.25">
      <c r="A10" s="5" t="s">
        <v>50</v>
      </c>
      <c r="B10" s="5" t="s">
        <v>51</v>
      </c>
      <c r="C10" s="8" t="s">
        <v>52</v>
      </c>
      <c r="D10" s="8">
        <v>500</v>
      </c>
      <c r="E10" s="8">
        <v>50</v>
      </c>
      <c r="F10" s="8" t="s">
        <v>25</v>
      </c>
      <c r="G10" s="8" t="str">
        <f t="shared" si="0"/>
        <v>HIGH PRICE</v>
      </c>
      <c r="H10" s="8" t="str">
        <f t="shared" si="3"/>
        <v>05</v>
      </c>
      <c r="I10" s="8" t="str">
        <f t="shared" si="1"/>
        <v>UK</v>
      </c>
      <c r="J10" s="8" t="str">
        <f t="shared" si="2"/>
        <v>SEP</v>
      </c>
    </row>
    <row r="11" spans="1:10" ht="15.75" customHeight="1" x14ac:dyDescent="0.25">
      <c r="A11" s="6" t="s">
        <v>53</v>
      </c>
      <c r="B11" s="6" t="s">
        <v>54</v>
      </c>
      <c r="C11" s="9" t="s">
        <v>55</v>
      </c>
      <c r="D11" s="9">
        <v>130</v>
      </c>
      <c r="E11" s="9">
        <v>10</v>
      </c>
      <c r="F11" s="9" t="s">
        <v>40</v>
      </c>
      <c r="G11" s="10" t="str">
        <f t="shared" si="0"/>
        <v>STANDARD PRICE</v>
      </c>
      <c r="H11" s="10" t="str">
        <f t="shared" si="3"/>
        <v>14</v>
      </c>
      <c r="I11" s="10" t="str">
        <f t="shared" si="1"/>
        <v>UK</v>
      </c>
      <c r="J11" s="10" t="str">
        <f t="shared" si="2"/>
        <v>OCT</v>
      </c>
    </row>
    <row r="12" spans="1:10" ht="15.75" customHeight="1" x14ac:dyDescent="0.25">
      <c r="A12" s="5" t="s">
        <v>56</v>
      </c>
      <c r="B12" s="5" t="s">
        <v>23</v>
      </c>
      <c r="C12" s="8" t="s">
        <v>57</v>
      </c>
      <c r="D12" s="8">
        <v>950</v>
      </c>
      <c r="E12" s="8">
        <v>25</v>
      </c>
      <c r="F12" s="8" t="s">
        <v>25</v>
      </c>
      <c r="G12" s="8" t="str">
        <f t="shared" si="0"/>
        <v>HIGH PRICE</v>
      </c>
      <c r="H12" s="8" t="str">
        <f t="shared" si="3"/>
        <v>17</v>
      </c>
      <c r="I12" s="8" t="str">
        <f t="shared" si="1"/>
        <v>IN</v>
      </c>
      <c r="J12" s="8" t="str">
        <f t="shared" si="2"/>
        <v>JUN</v>
      </c>
    </row>
    <row r="13" spans="1:10" ht="15.75" customHeight="1" x14ac:dyDescent="0.25">
      <c r="A13" s="6" t="s">
        <v>58</v>
      </c>
      <c r="B13" s="6" t="s">
        <v>27</v>
      </c>
      <c r="C13" s="9" t="s">
        <v>46</v>
      </c>
      <c r="D13" s="9">
        <v>90</v>
      </c>
      <c r="E13" s="9">
        <v>40</v>
      </c>
      <c r="F13" s="9" t="s">
        <v>29</v>
      </c>
      <c r="G13" s="10" t="str">
        <f t="shared" si="0"/>
        <v>STANDARD PRICE</v>
      </c>
      <c r="H13" s="10" t="str">
        <f t="shared" si="3"/>
        <v>25</v>
      </c>
      <c r="I13" s="10" t="str">
        <f t="shared" si="1"/>
        <v>AU</v>
      </c>
      <c r="J13" s="10" t="str">
        <f t="shared" si="2"/>
        <v>NOV</v>
      </c>
    </row>
    <row r="14" spans="1:10" ht="15.75" customHeight="1" x14ac:dyDescent="0.25">
      <c r="A14" s="5" t="s">
        <v>59</v>
      </c>
      <c r="B14" s="5" t="s">
        <v>31</v>
      </c>
      <c r="C14" s="8" t="s">
        <v>60</v>
      </c>
      <c r="D14" s="8">
        <v>120</v>
      </c>
      <c r="E14" s="8">
        <v>35</v>
      </c>
      <c r="F14" s="8" t="s">
        <v>33</v>
      </c>
      <c r="G14" s="8" t="str">
        <f t="shared" si="0"/>
        <v>STANDARD PRICE</v>
      </c>
      <c r="H14" s="8" t="str">
        <f t="shared" si="3"/>
        <v>08</v>
      </c>
      <c r="I14" s="8" t="str">
        <f t="shared" si="1"/>
        <v>DE</v>
      </c>
      <c r="J14" s="8" t="str">
        <f t="shared" si="2"/>
        <v>DEC</v>
      </c>
    </row>
    <row r="15" spans="1:10" ht="15.75" customHeight="1" x14ac:dyDescent="0.25">
      <c r="A15" s="6" t="s">
        <v>61</v>
      </c>
      <c r="B15" s="6" t="s">
        <v>62</v>
      </c>
      <c r="C15" s="9" t="s">
        <v>63</v>
      </c>
      <c r="D15" s="9">
        <v>150</v>
      </c>
      <c r="E15" s="9">
        <v>15</v>
      </c>
      <c r="F15" s="9" t="s">
        <v>25</v>
      </c>
      <c r="G15" s="10" t="str">
        <f t="shared" si="0"/>
        <v>STANDARD PRICE</v>
      </c>
      <c r="H15" s="10" t="str">
        <f t="shared" si="3"/>
        <v>18</v>
      </c>
      <c r="I15" s="10" t="str">
        <f t="shared" si="1"/>
        <v>CA</v>
      </c>
      <c r="J15" s="10" t="str">
        <f t="shared" si="2"/>
        <v>FEB</v>
      </c>
    </row>
    <row r="16" spans="1:10" ht="15.75" customHeight="1" x14ac:dyDescent="0.25">
      <c r="A16" s="5" t="s">
        <v>64</v>
      </c>
      <c r="B16" s="5" t="s">
        <v>42</v>
      </c>
      <c r="C16" s="8" t="s">
        <v>65</v>
      </c>
      <c r="D16" s="8">
        <v>250</v>
      </c>
      <c r="E16" s="8">
        <v>20</v>
      </c>
      <c r="F16" s="8" t="s">
        <v>25</v>
      </c>
      <c r="G16" s="8" t="str">
        <f t="shared" si="0"/>
        <v>STANDARD PRICE</v>
      </c>
      <c r="H16" s="8" t="str">
        <f t="shared" si="3"/>
        <v>16</v>
      </c>
      <c r="I16" s="8" t="str">
        <f t="shared" si="1"/>
        <v>ES</v>
      </c>
      <c r="J16" s="8" t="str">
        <f t="shared" si="2"/>
        <v>APR</v>
      </c>
    </row>
    <row r="17" spans="1:10" ht="15.75" customHeight="1" x14ac:dyDescent="0.25">
      <c r="A17" s="6" t="s">
        <v>66</v>
      </c>
      <c r="B17" s="6" t="s">
        <v>67</v>
      </c>
      <c r="C17" s="9" t="s">
        <v>68</v>
      </c>
      <c r="D17" s="9">
        <v>50</v>
      </c>
      <c r="E17" s="9">
        <v>35</v>
      </c>
      <c r="F17" s="9" t="s">
        <v>69</v>
      </c>
      <c r="G17" s="10" t="str">
        <f t="shared" si="0"/>
        <v>STANDARD PRICE</v>
      </c>
      <c r="H17" s="10" t="str">
        <f t="shared" si="3"/>
        <v>21</v>
      </c>
      <c r="I17" s="10" t="str">
        <f t="shared" si="1"/>
        <v>CA</v>
      </c>
      <c r="J17" s="10" t="str">
        <f t="shared" si="2"/>
        <v>AUG</v>
      </c>
    </row>
    <row r="18" spans="1:10" ht="15.75" customHeight="1" x14ac:dyDescent="0.25">
      <c r="A18" s="5" t="s">
        <v>70</v>
      </c>
      <c r="B18" s="5" t="s">
        <v>62</v>
      </c>
      <c r="C18" s="8" t="s">
        <v>71</v>
      </c>
      <c r="D18" s="8">
        <v>160</v>
      </c>
      <c r="E18" s="8">
        <v>15</v>
      </c>
      <c r="F18" s="8" t="s">
        <v>25</v>
      </c>
      <c r="G18" s="8" t="str">
        <f t="shared" si="0"/>
        <v>STANDARD PRICE</v>
      </c>
      <c r="H18" s="8" t="str">
        <f t="shared" si="3"/>
        <v>20</v>
      </c>
      <c r="I18" s="8" t="str">
        <f t="shared" si="1"/>
        <v>CN</v>
      </c>
      <c r="J18" s="8" t="str">
        <f t="shared" si="2"/>
        <v>AUG</v>
      </c>
    </row>
    <row r="19" spans="1:10" ht="15.75" customHeight="1" x14ac:dyDescent="0.25">
      <c r="A19" s="6" t="s">
        <v>72</v>
      </c>
      <c r="B19" s="6" t="s">
        <v>23</v>
      </c>
      <c r="C19" s="9" t="s">
        <v>73</v>
      </c>
      <c r="D19" s="9">
        <v>980</v>
      </c>
      <c r="E19" s="9">
        <v>10</v>
      </c>
      <c r="F19" s="9" t="s">
        <v>25</v>
      </c>
      <c r="G19" s="10" t="str">
        <f t="shared" si="0"/>
        <v>HIGH PRICE</v>
      </c>
      <c r="H19" s="10" t="str">
        <f t="shared" si="3"/>
        <v>27</v>
      </c>
      <c r="I19" s="10" t="str">
        <f t="shared" si="1"/>
        <v>IT</v>
      </c>
      <c r="J19" s="10" t="str">
        <f t="shared" si="2"/>
        <v>JAN</v>
      </c>
    </row>
    <row r="20" spans="1:10" ht="15.75" customHeight="1" x14ac:dyDescent="0.25">
      <c r="A20" s="5" t="s">
        <v>74</v>
      </c>
      <c r="B20" s="5" t="s">
        <v>75</v>
      </c>
      <c r="C20" s="8" t="s">
        <v>76</v>
      </c>
      <c r="D20" s="8">
        <v>150</v>
      </c>
      <c r="E20" s="8">
        <v>15</v>
      </c>
      <c r="F20" s="8" t="s">
        <v>29</v>
      </c>
      <c r="G20" s="8" t="str">
        <f t="shared" si="0"/>
        <v>STANDARD PRICE</v>
      </c>
      <c r="H20" s="8" t="str">
        <f t="shared" si="3"/>
        <v>01</v>
      </c>
      <c r="I20" s="8" t="str">
        <f t="shared" si="1"/>
        <v>UK</v>
      </c>
      <c r="J20" s="8" t="str">
        <f t="shared" si="2"/>
        <v>MAR</v>
      </c>
    </row>
    <row r="21" spans="1:10" ht="15.75" customHeight="1" x14ac:dyDescent="0.25">
      <c r="A21" s="6" t="s">
        <v>77</v>
      </c>
      <c r="B21" s="6" t="s">
        <v>78</v>
      </c>
      <c r="C21" s="9" t="s">
        <v>79</v>
      </c>
      <c r="D21" s="9">
        <v>200</v>
      </c>
      <c r="E21" s="9">
        <v>10</v>
      </c>
      <c r="F21" s="9" t="s">
        <v>40</v>
      </c>
      <c r="G21" s="10" t="str">
        <f t="shared" si="0"/>
        <v>STANDARD PRICE</v>
      </c>
      <c r="H21" s="10" t="str">
        <f t="shared" si="3"/>
        <v>14</v>
      </c>
      <c r="I21" s="10" t="str">
        <f t="shared" si="1"/>
        <v>US</v>
      </c>
      <c r="J21" s="10" t="str">
        <f t="shared" si="2"/>
        <v>AUG</v>
      </c>
    </row>
    <row r="22" spans="1:10" ht="15.75" customHeight="1" x14ac:dyDescent="0.25">
      <c r="A22" s="5" t="s">
        <v>80</v>
      </c>
      <c r="B22" s="5" t="s">
        <v>81</v>
      </c>
      <c r="C22" s="8" t="s">
        <v>82</v>
      </c>
      <c r="D22" s="8">
        <v>700</v>
      </c>
      <c r="E22" s="8">
        <v>50</v>
      </c>
      <c r="F22" s="8" t="s">
        <v>25</v>
      </c>
      <c r="G22" s="8" t="str">
        <f t="shared" si="0"/>
        <v>HIGH PRICE</v>
      </c>
      <c r="H22" s="8" t="str">
        <f t="shared" si="3"/>
        <v>14</v>
      </c>
      <c r="I22" s="8" t="str">
        <f t="shared" si="1"/>
        <v>RU</v>
      </c>
      <c r="J22" s="8" t="str">
        <f t="shared" si="2"/>
        <v>MAY</v>
      </c>
    </row>
    <row r="23" spans="1:10" ht="15.75" customHeight="1" x14ac:dyDescent="0.25">
      <c r="A23" s="6" t="s">
        <v>83</v>
      </c>
      <c r="B23" s="6" t="s">
        <v>84</v>
      </c>
      <c r="C23" s="9" t="s">
        <v>85</v>
      </c>
      <c r="D23" s="9">
        <v>80</v>
      </c>
      <c r="E23" s="9">
        <v>20</v>
      </c>
      <c r="F23" s="9" t="s">
        <v>33</v>
      </c>
      <c r="G23" s="10" t="str">
        <f t="shared" si="0"/>
        <v>STANDARD PRICE</v>
      </c>
      <c r="H23" s="10" t="str">
        <f t="shared" si="3"/>
        <v>09</v>
      </c>
      <c r="I23" s="10" t="str">
        <f t="shared" si="1"/>
        <v>CA</v>
      </c>
      <c r="J23" s="10" t="str">
        <f t="shared" si="2"/>
        <v>JAN</v>
      </c>
    </row>
    <row r="24" spans="1:10" ht="15.75" customHeight="1" x14ac:dyDescent="0.25">
      <c r="A24" s="5" t="s">
        <v>86</v>
      </c>
      <c r="B24" s="5" t="s">
        <v>87</v>
      </c>
      <c r="C24" s="8" t="s">
        <v>88</v>
      </c>
      <c r="D24" s="8">
        <v>150</v>
      </c>
      <c r="E24" s="8">
        <v>30</v>
      </c>
      <c r="F24" s="8" t="s">
        <v>25</v>
      </c>
      <c r="G24" s="8" t="str">
        <f t="shared" si="0"/>
        <v>STANDARD PRICE</v>
      </c>
      <c r="H24" s="8" t="str">
        <f t="shared" si="3"/>
        <v>19</v>
      </c>
      <c r="I24" s="8" t="str">
        <f t="shared" si="1"/>
        <v>BR</v>
      </c>
      <c r="J24" s="8" t="str">
        <f t="shared" si="2"/>
        <v>JUL</v>
      </c>
    </row>
    <row r="25" spans="1:10" ht="15.75" customHeight="1" x14ac:dyDescent="0.25">
      <c r="A25" s="6" t="s">
        <v>66</v>
      </c>
      <c r="B25" s="6" t="s">
        <v>67</v>
      </c>
      <c r="C25" s="9" t="s">
        <v>68</v>
      </c>
      <c r="D25" s="9">
        <v>50</v>
      </c>
      <c r="E25" s="9">
        <v>35</v>
      </c>
      <c r="F25" s="9" t="s">
        <v>69</v>
      </c>
      <c r="G25" s="10" t="str">
        <f t="shared" si="0"/>
        <v>STANDARD PRICE</v>
      </c>
      <c r="H25" s="10" t="str">
        <f t="shared" si="3"/>
        <v>21</v>
      </c>
      <c r="I25" s="10" t="str">
        <f t="shared" si="1"/>
        <v>CA</v>
      </c>
      <c r="J25" s="10" t="str">
        <f t="shared" si="2"/>
        <v>AUG</v>
      </c>
    </row>
    <row r="26" spans="1:10" ht="15.75" customHeight="1" x14ac:dyDescent="0.25">
      <c r="A26" s="5" t="s">
        <v>89</v>
      </c>
      <c r="B26" s="5" t="s">
        <v>35</v>
      </c>
      <c r="C26" s="8" t="s">
        <v>90</v>
      </c>
      <c r="D26" s="8">
        <v>800</v>
      </c>
      <c r="E26" s="8">
        <v>45</v>
      </c>
      <c r="F26" s="8" t="s">
        <v>25</v>
      </c>
      <c r="G26" s="8" t="str">
        <f t="shared" si="0"/>
        <v>HIGH PRICE</v>
      </c>
      <c r="H26" s="8" t="str">
        <f t="shared" si="3"/>
        <v>29</v>
      </c>
      <c r="I26" s="8" t="str">
        <f t="shared" si="1"/>
        <v>CA</v>
      </c>
      <c r="J26" s="8" t="str">
        <f t="shared" si="2"/>
        <v>SEP</v>
      </c>
    </row>
    <row r="27" spans="1:10" ht="15.75" customHeight="1" x14ac:dyDescent="0.25">
      <c r="A27" s="6" t="s">
        <v>91</v>
      </c>
      <c r="B27" s="6" t="s">
        <v>75</v>
      </c>
      <c r="C27" s="9" t="s">
        <v>92</v>
      </c>
      <c r="D27" s="9">
        <v>130</v>
      </c>
      <c r="E27" s="9">
        <v>25</v>
      </c>
      <c r="F27" s="9" t="s">
        <v>29</v>
      </c>
      <c r="G27" s="10" t="str">
        <f t="shared" si="0"/>
        <v>STANDARD PRICE</v>
      </c>
      <c r="H27" s="10" t="str">
        <f t="shared" si="3"/>
        <v>03</v>
      </c>
      <c r="I27" s="10" t="str">
        <f t="shared" si="1"/>
        <v>CA</v>
      </c>
      <c r="J27" s="10" t="str">
        <f t="shared" si="2"/>
        <v>JUN</v>
      </c>
    </row>
    <row r="28" spans="1:10" ht="15.75" customHeight="1" x14ac:dyDescent="0.25">
      <c r="A28" s="5" t="s">
        <v>93</v>
      </c>
      <c r="B28" s="5" t="s">
        <v>48</v>
      </c>
      <c r="C28" s="8" t="s">
        <v>94</v>
      </c>
      <c r="D28" s="8">
        <v>400</v>
      </c>
      <c r="E28" s="8">
        <v>40</v>
      </c>
      <c r="F28" s="8" t="s">
        <v>33</v>
      </c>
      <c r="G28" s="8" t="str">
        <f t="shared" si="0"/>
        <v>STANDARD PRICE</v>
      </c>
      <c r="H28" s="8" t="str">
        <f t="shared" si="3"/>
        <v>11</v>
      </c>
      <c r="I28" s="8" t="str">
        <f t="shared" si="1"/>
        <v>CA</v>
      </c>
      <c r="J28" s="8" t="str">
        <f t="shared" si="2"/>
        <v>JUL</v>
      </c>
    </row>
    <row r="29" spans="1:10" ht="15.75" customHeight="1" x14ac:dyDescent="0.25">
      <c r="A29" s="6" t="s">
        <v>64</v>
      </c>
      <c r="B29" s="6" t="s">
        <v>42</v>
      </c>
      <c r="C29" s="9" t="s">
        <v>65</v>
      </c>
      <c r="D29" s="9">
        <v>230</v>
      </c>
      <c r="E29" s="9">
        <v>20</v>
      </c>
      <c r="F29" s="9" t="s">
        <v>25</v>
      </c>
      <c r="G29" s="10" t="str">
        <f t="shared" si="0"/>
        <v>STANDARD PRICE</v>
      </c>
      <c r="H29" s="10" t="str">
        <f t="shared" si="3"/>
        <v>16</v>
      </c>
      <c r="I29" s="10" t="str">
        <f t="shared" si="1"/>
        <v>ES</v>
      </c>
      <c r="J29" s="10" t="str">
        <f t="shared" si="2"/>
        <v>APR</v>
      </c>
    </row>
    <row r="30" spans="1:10" ht="15.75" customHeight="1" x14ac:dyDescent="0.25">
      <c r="A30" s="5" t="s">
        <v>95</v>
      </c>
      <c r="B30" s="5" t="s">
        <v>96</v>
      </c>
      <c r="C30" s="8" t="s">
        <v>97</v>
      </c>
      <c r="D30" s="8">
        <v>60</v>
      </c>
      <c r="E30" s="8">
        <v>30</v>
      </c>
      <c r="F30" s="8" t="s">
        <v>29</v>
      </c>
      <c r="G30" s="8" t="str">
        <f t="shared" si="0"/>
        <v>STANDARD PRICE</v>
      </c>
      <c r="H30" s="8" t="str">
        <f t="shared" si="3"/>
        <v>07</v>
      </c>
      <c r="I30" s="8" t="str">
        <f t="shared" si="1"/>
        <v>CA</v>
      </c>
      <c r="J30" s="8" t="str">
        <f t="shared" si="2"/>
        <v>MAR</v>
      </c>
    </row>
    <row r="31" spans="1:10" ht="15.75" customHeight="1" x14ac:dyDescent="0.25">
      <c r="A31" s="6" t="s">
        <v>98</v>
      </c>
      <c r="B31" s="6" t="s">
        <v>99</v>
      </c>
      <c r="C31" s="9" t="s">
        <v>100</v>
      </c>
      <c r="D31" s="9">
        <v>40</v>
      </c>
      <c r="E31" s="9">
        <v>10</v>
      </c>
      <c r="F31" s="9" t="s">
        <v>33</v>
      </c>
      <c r="G31" s="10" t="str">
        <f t="shared" si="0"/>
        <v>STANDARD PRICE</v>
      </c>
      <c r="H31" s="10" t="str">
        <f t="shared" si="3"/>
        <v>13</v>
      </c>
      <c r="I31" s="10" t="str">
        <f t="shared" si="1"/>
        <v>CA</v>
      </c>
      <c r="J31" s="10" t="str">
        <f t="shared" si="2"/>
        <v>APR</v>
      </c>
    </row>
    <row r="32" spans="1:10" ht="15.75" customHeight="1" x14ac:dyDescent="0.25">
      <c r="A32" s="5" t="s">
        <v>101</v>
      </c>
      <c r="B32" s="5" t="s">
        <v>87</v>
      </c>
      <c r="C32" s="8" t="s">
        <v>102</v>
      </c>
      <c r="D32" s="8">
        <v>130</v>
      </c>
      <c r="E32" s="8">
        <v>5</v>
      </c>
      <c r="F32" s="8" t="s">
        <v>25</v>
      </c>
      <c r="G32" s="8" t="str">
        <f t="shared" si="0"/>
        <v>STANDARD PRICE</v>
      </c>
      <c r="H32" s="8" t="str">
        <f t="shared" si="3"/>
        <v>24</v>
      </c>
      <c r="I32" s="8" t="str">
        <f t="shared" si="1"/>
        <v>CA</v>
      </c>
      <c r="J32" s="8" t="str">
        <f t="shared" si="2"/>
        <v>MAY</v>
      </c>
    </row>
    <row r="33" spans="1:10" ht="15.75" customHeight="1" x14ac:dyDescent="0.25">
      <c r="A33" s="6" t="s">
        <v>103</v>
      </c>
      <c r="B33" s="6" t="s">
        <v>104</v>
      </c>
      <c r="C33" s="9" t="s">
        <v>105</v>
      </c>
      <c r="D33" s="9">
        <v>50</v>
      </c>
      <c r="E33" s="9">
        <v>50</v>
      </c>
      <c r="F33" s="9" t="s">
        <v>29</v>
      </c>
      <c r="G33" s="10" t="str">
        <f t="shared" si="0"/>
        <v>STANDARD PRICE</v>
      </c>
      <c r="H33" s="10" t="str">
        <f t="shared" si="3"/>
        <v>02</v>
      </c>
      <c r="I33" s="10" t="str">
        <f t="shared" si="1"/>
        <v>CA</v>
      </c>
      <c r="J33" s="10" t="str">
        <f t="shared" si="2"/>
        <v>DEC</v>
      </c>
    </row>
    <row r="34" spans="1:10" ht="15.75" customHeight="1" x14ac:dyDescent="0.25">
      <c r="A34" s="5" t="s">
        <v>56</v>
      </c>
      <c r="B34" s="5" t="s">
        <v>23</v>
      </c>
      <c r="C34" s="8" t="s">
        <v>57</v>
      </c>
      <c r="D34" s="8">
        <v>950</v>
      </c>
      <c r="E34" s="8">
        <v>25</v>
      </c>
      <c r="F34" s="8" t="s">
        <v>25</v>
      </c>
      <c r="G34" s="8" t="str">
        <f t="shared" si="0"/>
        <v>HIGH PRICE</v>
      </c>
      <c r="H34" s="8" t="str">
        <f t="shared" si="3"/>
        <v>17</v>
      </c>
      <c r="I34" s="8" t="str">
        <f t="shared" si="1"/>
        <v>IN</v>
      </c>
      <c r="J34" s="8" t="str">
        <f t="shared" si="2"/>
        <v>JUN</v>
      </c>
    </row>
    <row r="35" spans="1:10" ht="15.75" customHeight="1" x14ac:dyDescent="0.25">
      <c r="A35" s="6" t="s">
        <v>106</v>
      </c>
      <c r="B35" s="6" t="s">
        <v>107</v>
      </c>
      <c r="C35" s="9" t="s">
        <v>108</v>
      </c>
      <c r="D35" s="9">
        <v>100</v>
      </c>
      <c r="E35" s="9">
        <v>20</v>
      </c>
      <c r="F35" s="9" t="s">
        <v>69</v>
      </c>
      <c r="G35" s="10" t="str">
        <f t="shared" si="0"/>
        <v>STANDARD PRICE</v>
      </c>
      <c r="H35" s="10" t="str">
        <f t="shared" si="3"/>
        <v>09</v>
      </c>
      <c r="I35" s="10" t="str">
        <f t="shared" si="1"/>
        <v>FR</v>
      </c>
      <c r="J35" s="10" t="str">
        <f t="shared" si="2"/>
        <v>JUL</v>
      </c>
    </row>
    <row r="36" spans="1:10" ht="15.75" customHeight="1" x14ac:dyDescent="0.25"/>
    <row r="37" spans="1:10" ht="15.75" customHeight="1" x14ac:dyDescent="0.25"/>
    <row r="38" spans="1:10" ht="15.75" customHeight="1" x14ac:dyDescent="0.25"/>
    <row r="39" spans="1:10" ht="24.6" customHeight="1" x14ac:dyDescent="0.35">
      <c r="C39" s="18" t="s">
        <v>109</v>
      </c>
      <c r="D39" s="19"/>
      <c r="E39" s="19"/>
      <c r="F39" s="19"/>
      <c r="G39" s="19"/>
      <c r="H39" s="19"/>
      <c r="I39" s="20" t="s">
        <v>110</v>
      </c>
      <c r="J39" s="21"/>
    </row>
    <row r="40" spans="1:10" ht="25.2" customHeight="1" x14ac:dyDescent="0.3">
      <c r="C40" s="17" t="s">
        <v>112</v>
      </c>
      <c r="D40" s="17"/>
      <c r="E40" s="17"/>
      <c r="F40" s="17"/>
      <c r="G40" s="17"/>
      <c r="H40" s="17"/>
      <c r="I40" s="16">
        <v>10100</v>
      </c>
      <c r="J40" s="16"/>
    </row>
    <row r="41" spans="1:10" ht="26.4" customHeight="1" x14ac:dyDescent="0.3">
      <c r="C41" s="16" t="s">
        <v>113</v>
      </c>
      <c r="D41" s="16"/>
      <c r="E41" s="16"/>
      <c r="F41" s="16"/>
      <c r="G41" s="16"/>
      <c r="H41" s="16"/>
      <c r="I41" s="17">
        <v>34</v>
      </c>
      <c r="J41" s="17"/>
    </row>
    <row r="42" spans="1:10" ht="25.2" customHeight="1" x14ac:dyDescent="0.3">
      <c r="C42" s="17" t="s">
        <v>114</v>
      </c>
      <c r="D42" s="17"/>
      <c r="E42" s="17"/>
      <c r="F42" s="17"/>
      <c r="G42" s="17"/>
      <c r="H42" s="17"/>
      <c r="I42" s="16">
        <v>297.05882350000002</v>
      </c>
      <c r="J42" s="16"/>
    </row>
    <row r="43" spans="1:10" ht="25.2" customHeight="1" x14ac:dyDescent="0.3">
      <c r="C43" s="16" t="s">
        <v>115</v>
      </c>
      <c r="D43" s="16"/>
      <c r="E43" s="16"/>
      <c r="F43" s="16"/>
      <c r="G43" s="16"/>
      <c r="H43" s="16"/>
      <c r="I43" s="17">
        <f>MIN(D2:D35)</f>
        <v>30</v>
      </c>
      <c r="J43" s="17"/>
    </row>
    <row r="44" spans="1:10" ht="25.2" customHeight="1" x14ac:dyDescent="0.3">
      <c r="C44" s="17" t="s">
        <v>116</v>
      </c>
      <c r="D44" s="17"/>
      <c r="E44" s="17"/>
      <c r="F44" s="17"/>
      <c r="G44" s="17"/>
      <c r="H44" s="17"/>
      <c r="I44" s="16">
        <f>MAX(D2:D35)</f>
        <v>1000</v>
      </c>
      <c r="J44" s="16"/>
    </row>
    <row r="45" spans="1:10" ht="24.6" customHeight="1" x14ac:dyDescent="0.3">
      <c r="C45" s="16" t="s">
        <v>118</v>
      </c>
      <c r="D45" s="16"/>
      <c r="E45" s="16"/>
      <c r="F45" s="16"/>
      <c r="G45" s="16"/>
      <c r="H45" s="16"/>
      <c r="I45" s="17">
        <f>SUMIF(F2:F35,"Electronics",D2:D35)</f>
        <v>8050</v>
      </c>
      <c r="J45" s="17"/>
    </row>
    <row r="46" spans="1:10" ht="26.4" customHeight="1" x14ac:dyDescent="0.3">
      <c r="C46" s="17" t="s">
        <v>117</v>
      </c>
      <c r="D46" s="17"/>
      <c r="E46" s="17"/>
      <c r="F46" s="17"/>
      <c r="G46" s="17"/>
      <c r="H46" s="17"/>
      <c r="I46" s="16">
        <f>COUNTIF(D2:D35,"&lt;100")</f>
        <v>11</v>
      </c>
      <c r="J46" s="16"/>
    </row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6">
    <mergeCell ref="C39:H39"/>
    <mergeCell ref="I39:J39"/>
    <mergeCell ref="C40:H40"/>
    <mergeCell ref="I40:J40"/>
    <mergeCell ref="C41:H41"/>
    <mergeCell ref="I41:J41"/>
    <mergeCell ref="C45:H45"/>
    <mergeCell ref="I45:J45"/>
    <mergeCell ref="C46:H46"/>
    <mergeCell ref="I46:J46"/>
    <mergeCell ref="C42:H42"/>
    <mergeCell ref="I42:J42"/>
    <mergeCell ref="C43:H43"/>
    <mergeCell ref="I43:J43"/>
    <mergeCell ref="C44:H44"/>
    <mergeCell ref="I44:J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Kathirava Ganesan</cp:lastModifiedBy>
  <dcterms:modified xsi:type="dcterms:W3CDTF">2025-11-27T20:12:24Z</dcterms:modified>
</cp:coreProperties>
</file>